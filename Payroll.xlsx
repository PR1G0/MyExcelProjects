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<sst xmlns="http://schemas.openxmlformats.org/spreadsheetml/2006/main" count="54" uniqueCount="54">
  <si>
    <t xml:space="preserve">employee payroll</t>
  </si>
  <si>
    <t xml:space="preserve">Hours Worked</t>
  </si>
  <si>
    <t xml:space="preserve">Overtime Hours</t>
  </si>
  <si>
    <t>pay</t>
  </si>
  <si>
    <t xml:space="preserve">Bonous pay</t>
  </si>
  <si>
    <t xml:space="preserve">Total weekly pay</t>
  </si>
  <si>
    <t xml:space="preserve">Last name</t>
  </si>
  <si>
    <t xml:space="preserve">First name</t>
  </si>
  <si>
    <t xml:space="preserve">Hourly wages</t>
  </si>
  <si>
    <t xml:space="preserve">Total pay</t>
  </si>
  <si>
    <t>Aiden</t>
  </si>
  <si>
    <t>Bennett</t>
  </si>
  <si>
    <t xml:space="preserve"> Soraya</t>
  </si>
  <si>
    <t xml:space="preserve"> Castillo</t>
  </si>
  <si>
    <t xml:space="preserve"> Mateo</t>
  </si>
  <si>
    <t xml:space="preserve"> Donovan</t>
  </si>
  <si>
    <t xml:space="preserve"> Lila</t>
  </si>
  <si>
    <t xml:space="preserve"> Gallagher</t>
  </si>
  <si>
    <t xml:space="preserve"> Dominic</t>
  </si>
  <si>
    <t xml:space="preserve"> Hassan</t>
  </si>
  <si>
    <t xml:space="preserve"> Freya</t>
  </si>
  <si>
    <t xml:space="preserve"> Iverson</t>
  </si>
  <si>
    <t xml:space="preserve"> Caleb</t>
  </si>
  <si>
    <t xml:space="preserve"> Kimura</t>
  </si>
  <si>
    <t xml:space="preserve"> Amara</t>
  </si>
  <si>
    <t xml:space="preserve"> Lambert</t>
  </si>
  <si>
    <t xml:space="preserve"> Jasper</t>
  </si>
  <si>
    <t xml:space="preserve"> Moreno</t>
  </si>
  <si>
    <t xml:space="preserve"> Eliana</t>
  </si>
  <si>
    <t xml:space="preserve"> Novak</t>
  </si>
  <si>
    <t xml:space="preserve"> Rowan</t>
  </si>
  <si>
    <t xml:space="preserve"> O’Connell</t>
  </si>
  <si>
    <t xml:space="preserve"> Nadia</t>
  </si>
  <si>
    <t xml:space="preserve"> Patel</t>
  </si>
  <si>
    <t xml:space="preserve"> Felix</t>
  </si>
  <si>
    <t xml:space="preserve"> Quinn</t>
  </si>
  <si>
    <t xml:space="preserve"> Talia</t>
  </si>
  <si>
    <t xml:space="preserve"> Rasmussen</t>
  </si>
  <si>
    <t xml:space="preserve"> Griffin</t>
  </si>
  <si>
    <t xml:space="preserve"> Silva</t>
  </si>
  <si>
    <t xml:space="preserve"> Zara</t>
  </si>
  <si>
    <t xml:space="preserve"> Thornton</t>
  </si>
  <si>
    <t xml:space="preserve"> Kieran</t>
  </si>
  <si>
    <t xml:space="preserve"> Usman</t>
  </si>
  <si>
    <t xml:space="preserve"> Maya</t>
  </si>
  <si>
    <t xml:space="preserve"> Vasquez</t>
  </si>
  <si>
    <t xml:space="preserve"> Theo</t>
  </si>
  <si>
    <t xml:space="preserve"> Whitaker</t>
  </si>
  <si>
    <t xml:space="preserve"> Isla</t>
  </si>
  <si>
    <t xml:space="preserve"> Zhang</t>
  </si>
  <si>
    <t>Max</t>
  </si>
  <si>
    <t>Min</t>
  </si>
  <si>
    <t>Avg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</si>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</sst>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[$$-409]#,##0.00"/>
    <numFmt numFmtId="165" formatCode="[$₹-4009]\ #,##0.00"/>
  </numFmts>
  <fonts count="4">
    <font>
      <sz val="11.000000"/>
      <color theme="1"/>
      <name val="Calibri"/>
      <scheme val="minor"/>
    </font>
    <font>
      <sz val="11.000000"/>
      <color rgb="FF9C6500"/>
      <name val="Calibri"/>
      <scheme val="minor"/>
    </font>
    <font>
      <sz val="11.000000"/>
      <name val="Times New Roman"/>
    </font>
    <font>
      <sz val="12.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7" tint="-0.249977111117893"/>
        <bgColor theme="7" tint="-0.249977111117893"/>
      </patternFill>
    </fill>
    <fill>
      <patternFill patternType="solid">
        <fgColor indexed="5"/>
        <bgColor indexed="5"/>
      </patternFill>
    </fill>
    <fill>
      <patternFill patternType="solid">
        <fgColor rgb="FFDE4C4C"/>
        <bgColor rgb="FFDE4C4C"/>
      </patternFill>
    </fill>
    <fill>
      <patternFill patternType="solid">
        <fgColor indexed="2"/>
        <bgColor indexed="2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2" borderId="0" numFmtId="0" applyNumberFormat="0" applyFont="1" applyFill="1" applyBorder="0"/>
  </cellStyleXfs>
  <cellXfs count="31">
    <xf fontId="0" fillId="0" borderId="0" numFmtId="0" xfId="0"/>
    <xf fontId="0" fillId="0" borderId="0" numFmtId="0" xfId="0" applyAlignment="1">
      <alignment wrapText="1"/>
    </xf>
    <xf fontId="0" fillId="0" borderId="0" numFmtId="164" xfId="0" applyNumberFormat="1" applyAlignment="1">
      <alignment horizontal="right" vertical="center" wrapText="1"/>
    </xf>
    <xf fontId="0" fillId="0" borderId="0" numFmtId="0" xfId="0" applyAlignment="1">
      <alignment horizontal="right" wrapText="1"/>
    </xf>
    <xf fontId="0" fillId="0" borderId="0" numFmtId="164" xfId="0" applyNumberFormat="1"/>
    <xf fontId="0" fillId="0" borderId="0" numFmtId="0" xfId="0"/>
    <xf fontId="0" fillId="0" borderId="0" numFmtId="0" xfId="0" applyAlignment="1">
      <alignment horizontal="center"/>
    </xf>
    <xf fontId="0" fillId="0" borderId="0" numFmtId="164" xfId="0" applyNumberFormat="1"/>
    <xf fontId="0" fillId="0" borderId="0" numFmtId="164" xfId="0" applyNumberFormat="1"/>
    <xf fontId="0" fillId="3" borderId="0" numFmtId="16" xfId="0" applyNumberFormat="1" applyFill="1" applyAlignment="1">
      <alignment horizontal="right" wrapText="1"/>
    </xf>
    <xf fontId="0" fillId="4" borderId="0" numFmtId="16" xfId="0" applyNumberFormat="1" applyFill="1" applyAlignment="1">
      <alignment horizontal="right" wrapText="1"/>
    </xf>
    <xf fontId="0" fillId="5" borderId="0" numFmtId="16" xfId="0" applyNumberFormat="1" applyFill="1"/>
    <xf fontId="0" fillId="5" borderId="0" numFmtId="16" xfId="0" applyNumberFormat="1" applyFill="1" applyAlignment="1">
      <alignment horizontal="center"/>
    </xf>
    <xf fontId="0" fillId="6" borderId="0" numFmtId="16" xfId="0" applyNumberFormat="1" applyFill="1"/>
    <xf fontId="0" fillId="7" borderId="0" numFmtId="16" xfId="0" applyNumberFormat="1" applyFill="1"/>
    <xf fontId="0" fillId="8" borderId="0" numFmtId="0" xfId="0" applyFill="1" applyAlignment="1">
      <alignment horizontal="center"/>
    </xf>
    <xf fontId="0" fillId="3" borderId="0" numFmtId="0" xfId="0" applyFill="1"/>
    <xf fontId="2" fillId="3" borderId="0" numFmtId="0" xfId="0" applyFont="1" applyFill="1" applyAlignment="1">
      <alignment horizontal="right"/>
    </xf>
    <xf fontId="0" fillId="4" borderId="0" numFmtId="0" xfId="0" applyFill="1"/>
    <xf fontId="0" fillId="5" borderId="0" numFmtId="164" xfId="0" applyNumberFormat="1" applyFill="1"/>
    <xf fontId="0" fillId="6" borderId="0" numFmtId="164" xfId="0" applyNumberFormat="1" applyFill="1"/>
    <xf fontId="0" fillId="7" borderId="0" numFmtId="164" xfId="0" applyNumberFormat="1" applyFill="1"/>
    <xf fontId="0" fillId="8" borderId="0" numFmtId="164" xfId="0" applyNumberFormat="1" applyFill="1"/>
    <xf fontId="0" fillId="0" borderId="0" numFmtId="0" xfId="0">
      <protection hidden="0" locked="1"/>
    </xf>
    <xf fontId="0" fillId="3" borderId="0" numFmtId="0" xfId="0" applyFill="1">
      <protection hidden="0" locked="1"/>
    </xf>
    <xf fontId="2" fillId="0" borderId="0" numFmtId="0" xfId="0" applyFont="1" applyAlignment="1">
      <alignment horizontal="left"/>
    </xf>
    <xf fontId="2" fillId="0" borderId="0" numFmtId="0" xfId="0" applyFont="1" applyAlignment="1">
      <alignment horizontal="right"/>
    </xf>
    <xf fontId="0" fillId="0" borderId="0" numFmtId="0" xfId="0"/>
    <xf fontId="0" fillId="0" borderId="0" numFmtId="165" xfId="0" applyNumberFormat="1"/>
    <xf fontId="0" fillId="9" borderId="0" numFmtId="164" xfId="0" applyNumberFormat="1" applyFill="1"/>
    <xf fontId="3" fillId="0" borderId="0" numFmtId="0" xfId="0" applyFont="1" applyAlignment="1">
      <alignment horizontal="left" wrapText="1"/>
    </xf>
  </cellXfs>
  <cellStyles count="2">
    <cellStyle name="Normal" xfId="0" builtinId="0"/>
    <cellStyle name="Neutral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A1" activeCellId="0" sqref="A1"/>
    </sheetView>
  </sheetViews>
  <sheetFormatPr defaultRowHeight="14.25"/>
  <cols>
    <col customWidth="1" min="1" max="1" style="1" width="18.28125"/>
    <col customWidth="1" min="2" max="2" style="1" width="17.8515625"/>
    <col customWidth="1" min="3" max="3" style="2" width="18.00390625"/>
    <col bestFit="1" customWidth="1" min="4" max="4" style="3" width="15.57421875"/>
    <col customWidth="1" min="5" max="8" style="3" width="15.57421875"/>
    <col customWidth="1" min="9" max="13" style="3" width="18.7109375"/>
    <col customWidth="1" min="14" max="18" style="4" width="14.00390625"/>
    <col customWidth="1" min="19" max="23" style="4" width="14.140625"/>
    <col customWidth="1" min="24" max="24" style="4" width="15.421875"/>
    <col customWidth="1" min="25" max="28" style="4" width="14.140625"/>
    <col customWidth="1" min="29" max="29" width="13.421875"/>
  </cols>
  <sheetData>
    <row r="1" ht="14.25">
      <c r="A1" s="1" t="s">
        <v>0</v>
      </c>
    </row>
    <row r="2" ht="28.5">
      <c r="D2" t="s">
        <v>1</v>
      </c>
      <c r="E2" s="5"/>
      <c r="F2" s="5"/>
      <c r="G2" s="5"/>
      <c r="H2" s="5"/>
      <c r="I2" t="s">
        <v>2</v>
      </c>
      <c r="J2" s="5"/>
      <c r="K2" s="5"/>
      <c r="L2" s="5"/>
      <c r="M2" s="5"/>
      <c r="N2" s="6" t="s">
        <v>3</v>
      </c>
      <c r="O2" s="4"/>
      <c r="S2" t="s">
        <v>4</v>
      </c>
      <c r="T2" s="4"/>
      <c r="U2" s="4"/>
      <c r="V2" s="4"/>
      <c r="W2" s="4"/>
      <c r="X2" s="7" t="s">
        <v>5</v>
      </c>
      <c r="Y2" s="8"/>
      <c r="Z2" s="8"/>
      <c r="AA2" s="8"/>
      <c r="AB2" s="8"/>
    </row>
    <row r="3" ht="14.25">
      <c r="A3" t="s">
        <v>6</v>
      </c>
      <c r="B3" t="s">
        <v>7</v>
      </c>
      <c r="C3" s="4" t="s">
        <v>8</v>
      </c>
      <c r="D3" s="9">
        <v>46023</v>
      </c>
      <c r="E3" s="9">
        <v>46030</v>
      </c>
      <c r="F3" s="9">
        <v>46037</v>
      </c>
      <c r="G3" s="9">
        <v>46044</v>
      </c>
      <c r="H3" s="9">
        <v>46051</v>
      </c>
      <c r="I3" s="10">
        <v>46023</v>
      </c>
      <c r="J3" s="10">
        <v>46030</v>
      </c>
      <c r="K3" s="10">
        <v>46037</v>
      </c>
      <c r="L3" s="10">
        <v>46044</v>
      </c>
      <c r="M3" s="10">
        <v>46051</v>
      </c>
      <c r="N3" s="11">
        <v>46023</v>
      </c>
      <c r="O3" s="12">
        <f>N3+7</f>
        <v>46030</v>
      </c>
      <c r="P3" s="12">
        <f>O3+7</f>
        <v>46037</v>
      </c>
      <c r="Q3" s="12">
        <f>P3+7</f>
        <v>46044</v>
      </c>
      <c r="R3" s="12">
        <f>Q3+7</f>
        <v>46051</v>
      </c>
      <c r="S3" s="13">
        <v>46023</v>
      </c>
      <c r="T3" s="13">
        <f>S3+7</f>
        <v>46030</v>
      </c>
      <c r="U3" s="13">
        <f>T3+7</f>
        <v>46037</v>
      </c>
      <c r="V3" s="13">
        <f>U3+7</f>
        <v>46044</v>
      </c>
      <c r="W3" s="13">
        <f>V3+7</f>
        <v>46051</v>
      </c>
      <c r="X3" s="14">
        <v>46023</v>
      </c>
      <c r="Y3" s="14">
        <f>X3+7</f>
        <v>46030</v>
      </c>
      <c r="Z3" s="14">
        <f>Y3+7</f>
        <v>46037</v>
      </c>
      <c r="AA3" s="14">
        <f>Z3+7</f>
        <v>46044</v>
      </c>
      <c r="AB3" s="14">
        <f>AA3+7</f>
        <v>46051</v>
      </c>
      <c r="AC3" s="15" t="s">
        <v>9</v>
      </c>
    </row>
    <row r="4" ht="14.25">
      <c r="A4" t="s">
        <v>10</v>
      </c>
      <c r="B4" t="s">
        <v>11</v>
      </c>
      <c r="C4" s="4">
        <v>14.5</v>
      </c>
      <c r="D4" s="16">
        <v>8</v>
      </c>
      <c r="E4" s="17">
        <v>7</v>
      </c>
      <c r="F4" s="17">
        <v>36</v>
      </c>
      <c r="G4" s="17">
        <v>35</v>
      </c>
      <c r="H4" s="17">
        <v>39</v>
      </c>
      <c r="I4" s="18">
        <f t="shared" ref="I4:I9" si="0">IF(D4&gt;40,D4-40,0)</f>
        <v>0</v>
      </c>
      <c r="J4" s="18">
        <f t="shared" ref="J4:J9" si="1">IF(E4&gt;40,E4-40,0)</f>
        <v>0</v>
      </c>
      <c r="K4" s="18">
        <f t="shared" ref="K4:K9" si="2">IF(F4&gt;40,F4-40,0)</f>
        <v>0</v>
      </c>
      <c r="L4" s="18">
        <f t="shared" ref="L4:L9" si="3">IF(G4&gt;40,G4-40,0)</f>
        <v>0</v>
      </c>
      <c r="M4" s="18">
        <f t="shared" ref="M4:M9" si="4">IF(H4&gt;40,H4-40,0)</f>
        <v>0</v>
      </c>
      <c r="N4" s="19">
        <f t="shared" ref="N4:N9" si="5">$C4*D4</f>
        <v>116</v>
      </c>
      <c r="O4" s="19">
        <f t="shared" ref="O4:O9" si="6">$C4*E4</f>
        <v>101.5</v>
      </c>
      <c r="P4" s="19">
        <f t="shared" ref="P4:P9" si="7">$C4*F4</f>
        <v>522</v>
      </c>
      <c r="Q4" s="19">
        <f t="shared" ref="Q4:Q9" si="8">$C4*G4</f>
        <v>507.5</v>
      </c>
      <c r="R4" s="19">
        <f t="shared" ref="R4:R9" si="9">$C4*H4</f>
        <v>565.5</v>
      </c>
      <c r="S4" s="20">
        <f t="shared" ref="S4:S9" si="10">$C4*0.5*I4</f>
        <v>0</v>
      </c>
      <c r="T4" s="20">
        <f t="shared" ref="T4:T9" si="11">$C4*0.5*J4</f>
        <v>0</v>
      </c>
      <c r="U4" s="20">
        <f t="shared" ref="U4:U9" si="12">$C4*0.5*K4</f>
        <v>0</v>
      </c>
      <c r="V4" s="20">
        <f t="shared" ref="V4:V9" si="13">$C4*0.5*L4</f>
        <v>0</v>
      </c>
      <c r="W4" s="20">
        <f t="shared" ref="W4:W9" si="14">$C4*0.5*M4</f>
        <v>0</v>
      </c>
      <c r="X4" s="21">
        <f>N4+S4</f>
        <v>116</v>
      </c>
      <c r="Y4" s="21">
        <f>O4+T4</f>
        <v>101.5</v>
      </c>
      <c r="Z4" s="21">
        <f>P4+U4</f>
        <v>522</v>
      </c>
      <c r="AA4" s="21">
        <f>Q4+V4</f>
        <v>507.5</v>
      </c>
      <c r="AB4" s="21">
        <f>R4+W4</f>
        <v>565.5</v>
      </c>
      <c r="AC4" s="22">
        <f t="shared" ref="AC4:AC9" si="15">N4+O4+P4+Q4+R4+S4+T4+U4+V4+W4</f>
        <v>1812.5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</row>
    <row r="5" ht="14.25">
      <c r="A5" t="s">
        <v>12</v>
      </c>
      <c r="B5" t="s">
        <v>13</v>
      </c>
      <c r="C5" s="4">
        <v>18.75</v>
      </c>
      <c r="D5" s="16">
        <v>34</v>
      </c>
      <c r="E5" s="16">
        <v>42</v>
      </c>
      <c r="F5" s="16">
        <v>42</v>
      </c>
      <c r="G5" s="16">
        <v>47</v>
      </c>
      <c r="H5" s="24">
        <v>46</v>
      </c>
      <c r="I5" s="18">
        <f t="shared" si="0"/>
        <v>0</v>
      </c>
      <c r="J5" s="18">
        <f t="shared" si="1"/>
        <v>2</v>
      </c>
      <c r="K5" s="18">
        <f t="shared" si="2"/>
        <v>2</v>
      </c>
      <c r="L5" s="18">
        <f t="shared" si="3"/>
        <v>7</v>
      </c>
      <c r="M5" s="18">
        <f t="shared" si="4"/>
        <v>6</v>
      </c>
      <c r="N5" s="19">
        <f t="shared" si="5"/>
        <v>637.5</v>
      </c>
      <c r="O5" s="19">
        <f t="shared" si="6"/>
        <v>787.5</v>
      </c>
      <c r="P5" s="19">
        <f t="shared" si="7"/>
        <v>787.5</v>
      </c>
      <c r="Q5" s="19">
        <f t="shared" si="8"/>
        <v>881.25</v>
      </c>
      <c r="R5" s="19">
        <f t="shared" si="9"/>
        <v>862.5</v>
      </c>
      <c r="S5" s="20">
        <f t="shared" si="10"/>
        <v>0</v>
      </c>
      <c r="T5" s="20">
        <f t="shared" si="11"/>
        <v>18.75</v>
      </c>
      <c r="U5" s="20">
        <f t="shared" si="12"/>
        <v>18.75</v>
      </c>
      <c r="V5" s="20">
        <f t="shared" si="13"/>
        <v>65.625</v>
      </c>
      <c r="W5" s="20">
        <f t="shared" si="14"/>
        <v>56.25</v>
      </c>
      <c r="X5" s="21">
        <f>N5+S5</f>
        <v>637.5</v>
      </c>
      <c r="Y5" s="21">
        <f>O5+T5</f>
        <v>806.25</v>
      </c>
      <c r="Z5" s="21">
        <f>P5+U5</f>
        <v>806.25</v>
      </c>
      <c r="AA5" s="21">
        <f>Q5+V5</f>
        <v>946.875</v>
      </c>
      <c r="AB5" s="21">
        <f>R5+W5</f>
        <v>918.75</v>
      </c>
      <c r="AC5" s="22">
        <f t="shared" si="15"/>
        <v>4115.625</v>
      </c>
    </row>
    <row r="6" ht="14.25">
      <c r="A6" t="s">
        <v>14</v>
      </c>
      <c r="B6" t="s">
        <v>15</v>
      </c>
      <c r="C6" s="4">
        <v>22</v>
      </c>
      <c r="D6" s="16">
        <v>21</v>
      </c>
      <c r="E6" s="16">
        <v>18</v>
      </c>
      <c r="F6" s="16">
        <v>49</v>
      </c>
      <c r="G6" s="16">
        <v>41</v>
      </c>
      <c r="H6" s="24">
        <v>35</v>
      </c>
      <c r="I6" s="18">
        <f t="shared" si="0"/>
        <v>0</v>
      </c>
      <c r="J6" s="18">
        <f t="shared" si="1"/>
        <v>0</v>
      </c>
      <c r="K6" s="18">
        <f t="shared" si="2"/>
        <v>9</v>
      </c>
      <c r="L6" s="18">
        <f t="shared" si="3"/>
        <v>1</v>
      </c>
      <c r="M6" s="18">
        <f t="shared" si="4"/>
        <v>0</v>
      </c>
      <c r="N6" s="19">
        <f t="shared" si="5"/>
        <v>462</v>
      </c>
      <c r="O6" s="19">
        <f t="shared" si="6"/>
        <v>396</v>
      </c>
      <c r="P6" s="19">
        <f t="shared" si="7"/>
        <v>1078</v>
      </c>
      <c r="Q6" s="19">
        <f t="shared" si="8"/>
        <v>902</v>
      </c>
      <c r="R6" s="19">
        <f t="shared" si="9"/>
        <v>770</v>
      </c>
      <c r="S6" s="20">
        <f t="shared" si="10"/>
        <v>0</v>
      </c>
      <c r="T6" s="20">
        <f t="shared" si="11"/>
        <v>0</v>
      </c>
      <c r="U6" s="20">
        <f t="shared" si="12"/>
        <v>99</v>
      </c>
      <c r="V6" s="20">
        <f t="shared" si="13"/>
        <v>11</v>
      </c>
      <c r="W6" s="20">
        <f t="shared" si="14"/>
        <v>0</v>
      </c>
      <c r="X6" s="21">
        <f>N6+S6</f>
        <v>462</v>
      </c>
      <c r="Y6" s="21">
        <f>O6+T6</f>
        <v>396</v>
      </c>
      <c r="Z6" s="21">
        <f>P6+U6</f>
        <v>1177</v>
      </c>
      <c r="AA6" s="21">
        <f>Q6+V6</f>
        <v>913</v>
      </c>
      <c r="AB6" s="21">
        <f>R6+W6</f>
        <v>770</v>
      </c>
      <c r="AC6" s="22">
        <f t="shared" si="15"/>
        <v>3718</v>
      </c>
      <c r="AE6" s="25"/>
    </row>
    <row r="7" ht="14.25">
      <c r="A7" t="s">
        <v>16</v>
      </c>
      <c r="B7" t="s">
        <v>17</v>
      </c>
      <c r="C7" s="4">
        <v>16.25</v>
      </c>
      <c r="D7" s="16">
        <v>3</v>
      </c>
      <c r="E7" s="16">
        <v>3</v>
      </c>
      <c r="F7" s="16">
        <v>38</v>
      </c>
      <c r="G7" s="16">
        <v>38</v>
      </c>
      <c r="H7" s="24">
        <v>48</v>
      </c>
      <c r="I7" s="18">
        <f t="shared" si="0"/>
        <v>0</v>
      </c>
      <c r="J7" s="18">
        <f t="shared" si="1"/>
        <v>0</v>
      </c>
      <c r="K7" s="18">
        <f t="shared" si="2"/>
        <v>0</v>
      </c>
      <c r="L7" s="18">
        <f t="shared" si="3"/>
        <v>0</v>
      </c>
      <c r="M7" s="18">
        <f t="shared" si="4"/>
        <v>8</v>
      </c>
      <c r="N7" s="19">
        <f t="shared" si="5"/>
        <v>48.75</v>
      </c>
      <c r="O7" s="19">
        <f t="shared" si="6"/>
        <v>48.75</v>
      </c>
      <c r="P7" s="19">
        <f t="shared" si="7"/>
        <v>617.5</v>
      </c>
      <c r="Q7" s="19">
        <f t="shared" si="8"/>
        <v>617.5</v>
      </c>
      <c r="R7" s="19">
        <f t="shared" si="9"/>
        <v>780</v>
      </c>
      <c r="S7" s="20">
        <f t="shared" si="10"/>
        <v>0</v>
      </c>
      <c r="T7" s="20">
        <f t="shared" si="11"/>
        <v>0</v>
      </c>
      <c r="U7" s="20">
        <f t="shared" si="12"/>
        <v>0</v>
      </c>
      <c r="V7" s="20">
        <f t="shared" si="13"/>
        <v>0</v>
      </c>
      <c r="W7" s="20">
        <f t="shared" si="14"/>
        <v>65</v>
      </c>
      <c r="X7" s="21">
        <f>N7+S7</f>
        <v>48.75</v>
      </c>
      <c r="Y7" s="21">
        <f>O7+T7</f>
        <v>48.75</v>
      </c>
      <c r="Z7" s="21">
        <f>P7+U7</f>
        <v>617.5</v>
      </c>
      <c r="AA7" s="21">
        <f>Q7+V7</f>
        <v>617.5</v>
      </c>
      <c r="AB7" s="21">
        <f>R7+W7</f>
        <v>845</v>
      </c>
      <c r="AC7" s="22">
        <f t="shared" si="15"/>
        <v>2177.5</v>
      </c>
      <c r="AD7" s="25"/>
      <c r="AE7" s="25"/>
    </row>
    <row r="8" ht="14.25">
      <c r="A8" t="s">
        <v>18</v>
      </c>
      <c r="B8" t="s">
        <v>19</v>
      </c>
      <c r="C8" s="4">
        <v>27.399999999999999</v>
      </c>
      <c r="D8" s="16">
        <v>42</v>
      </c>
      <c r="E8" s="16">
        <v>27</v>
      </c>
      <c r="F8" s="16">
        <v>45</v>
      </c>
      <c r="G8" s="16">
        <v>49</v>
      </c>
      <c r="H8" s="24">
        <v>42</v>
      </c>
      <c r="I8" s="18">
        <f t="shared" si="0"/>
        <v>2</v>
      </c>
      <c r="J8" s="18">
        <f t="shared" si="1"/>
        <v>0</v>
      </c>
      <c r="K8" s="18">
        <f t="shared" si="2"/>
        <v>5</v>
      </c>
      <c r="L8" s="18">
        <f t="shared" si="3"/>
        <v>9</v>
      </c>
      <c r="M8" s="18">
        <f t="shared" si="4"/>
        <v>2</v>
      </c>
      <c r="N8" s="19">
        <f t="shared" si="5"/>
        <v>1150.8</v>
      </c>
      <c r="O8" s="19">
        <f t="shared" si="6"/>
        <v>739.79999999999995</v>
      </c>
      <c r="P8" s="19">
        <f t="shared" si="7"/>
        <v>1233</v>
      </c>
      <c r="Q8" s="19">
        <f t="shared" si="8"/>
        <v>1342.5999999999999</v>
      </c>
      <c r="R8" s="19">
        <f t="shared" si="9"/>
        <v>1150.8</v>
      </c>
      <c r="S8" s="20">
        <f t="shared" si="10"/>
        <v>27.399999999999999</v>
      </c>
      <c r="T8" s="20">
        <f t="shared" si="11"/>
        <v>0</v>
      </c>
      <c r="U8" s="20">
        <f t="shared" si="12"/>
        <v>68.5</v>
      </c>
      <c r="V8" s="20">
        <f t="shared" si="13"/>
        <v>123.3</v>
      </c>
      <c r="W8" s="20">
        <f t="shared" si="14"/>
        <v>27.399999999999999</v>
      </c>
      <c r="X8" s="21">
        <f>N8+S8</f>
        <v>1178.2</v>
      </c>
      <c r="Y8" s="21">
        <f>O8+T8</f>
        <v>739.79999999999995</v>
      </c>
      <c r="Z8" s="21">
        <f>P8+U8</f>
        <v>1301.5</v>
      </c>
      <c r="AA8" s="21">
        <f>Q8+V8</f>
        <v>1465.8999999999999</v>
      </c>
      <c r="AB8" s="21">
        <f>R8+W8</f>
        <v>1178.2</v>
      </c>
      <c r="AC8" s="22">
        <f t="shared" si="15"/>
        <v>5863.5999999999995</v>
      </c>
      <c r="AE8" s="26"/>
    </row>
    <row r="9" ht="14.25">
      <c r="A9" t="s">
        <v>20</v>
      </c>
      <c r="B9" t="s">
        <v>21</v>
      </c>
      <c r="C9" s="4">
        <v>19.800000000000001</v>
      </c>
      <c r="D9" s="16">
        <v>17</v>
      </c>
      <c r="E9" s="16">
        <v>45</v>
      </c>
      <c r="F9" s="16">
        <v>47</v>
      </c>
      <c r="G9" s="16">
        <v>44</v>
      </c>
      <c r="H9" s="24">
        <v>44</v>
      </c>
      <c r="I9" s="18">
        <f t="shared" si="0"/>
        <v>0</v>
      </c>
      <c r="J9" s="18">
        <f t="shared" si="1"/>
        <v>5</v>
      </c>
      <c r="K9" s="18">
        <f t="shared" si="2"/>
        <v>7</v>
      </c>
      <c r="L9" s="18">
        <f t="shared" si="3"/>
        <v>4</v>
      </c>
      <c r="M9" s="18">
        <f t="shared" si="4"/>
        <v>4</v>
      </c>
      <c r="N9" s="19">
        <f t="shared" si="5"/>
        <v>336.60000000000002</v>
      </c>
      <c r="O9" s="19">
        <f t="shared" si="6"/>
        <v>891</v>
      </c>
      <c r="P9" s="19">
        <f t="shared" si="7"/>
        <v>930.60000000000002</v>
      </c>
      <c r="Q9" s="19">
        <f t="shared" si="8"/>
        <v>871.20000000000005</v>
      </c>
      <c r="R9" s="19">
        <f t="shared" si="9"/>
        <v>871.20000000000005</v>
      </c>
      <c r="S9" s="20">
        <f t="shared" si="10"/>
        <v>0</v>
      </c>
      <c r="T9" s="20">
        <f t="shared" si="11"/>
        <v>49.5</v>
      </c>
      <c r="U9" s="20">
        <f t="shared" si="12"/>
        <v>69.299999999999997</v>
      </c>
      <c r="V9" s="20">
        <f t="shared" si="13"/>
        <v>39.600000000000001</v>
      </c>
      <c r="W9" s="20">
        <f t="shared" si="14"/>
        <v>39.600000000000001</v>
      </c>
      <c r="X9" s="21">
        <f>N9+S9</f>
        <v>336.60000000000002</v>
      </c>
      <c r="Y9" s="21">
        <f>O9+T9</f>
        <v>940.5</v>
      </c>
      <c r="Z9" s="21">
        <f>P9+U9</f>
        <v>999.89999999999998</v>
      </c>
      <c r="AA9" s="21">
        <f>Q9+V9</f>
        <v>910.80000000000007</v>
      </c>
      <c r="AB9" s="21">
        <f>R9+W9</f>
        <v>910.80000000000007</v>
      </c>
      <c r="AC9" s="22">
        <f t="shared" si="15"/>
        <v>4098.5999999999995</v>
      </c>
    </row>
    <row r="10" ht="14.25">
      <c r="A10" t="s">
        <v>22</v>
      </c>
      <c r="B10" t="s">
        <v>23</v>
      </c>
      <c r="C10" s="4">
        <v>35.600000000000001</v>
      </c>
      <c r="D10" s="16">
        <v>29</v>
      </c>
      <c r="E10" s="24">
        <v>12</v>
      </c>
      <c r="F10" s="16">
        <v>35</v>
      </c>
      <c r="G10" s="24">
        <v>36</v>
      </c>
      <c r="H10" s="24">
        <v>37</v>
      </c>
      <c r="I10" s="18">
        <f t="shared" ref="I10:I23" si="16">IF(D10&gt;40,D10-40,0)</f>
        <v>0</v>
      </c>
      <c r="J10" s="18">
        <f t="shared" ref="J10:J23" si="17">IF(E10&gt;40,E10-40,0)</f>
        <v>0</v>
      </c>
      <c r="K10" s="18">
        <f t="shared" ref="K10:K23" si="18">IF(F10&gt;40,F10-40,0)</f>
        <v>0</v>
      </c>
      <c r="L10" s="18">
        <f t="shared" ref="L10:L23" si="19">IF(G10&gt;40,G10-40,0)</f>
        <v>0</v>
      </c>
      <c r="M10" s="18">
        <f t="shared" ref="M10:M23" si="20">IF(H10&gt;40,H10-40,0)</f>
        <v>0</v>
      </c>
      <c r="N10" s="19">
        <f t="shared" ref="N10:N23" si="21">$C10*D10</f>
        <v>1032.4000000000001</v>
      </c>
      <c r="O10" s="19">
        <f t="shared" ref="O10:O23" si="22">$C10*E10</f>
        <v>427.20000000000005</v>
      </c>
      <c r="P10" s="19">
        <f t="shared" ref="P10:P23" si="23">$C10*F10</f>
        <v>1246</v>
      </c>
      <c r="Q10" s="19">
        <f t="shared" ref="Q10:Q23" si="24">$C10*G10</f>
        <v>1281.6000000000001</v>
      </c>
      <c r="R10" s="19">
        <f t="shared" ref="R10:R23" si="25">$C10*H10</f>
        <v>1317.2</v>
      </c>
      <c r="S10" s="20">
        <f t="shared" ref="S10:S23" si="26">$C10*0.5*I10</f>
        <v>0</v>
      </c>
      <c r="T10" s="20">
        <f t="shared" ref="T10:T23" si="27">$C10*0.5*J10</f>
        <v>0</v>
      </c>
      <c r="U10" s="20">
        <f t="shared" ref="U10:U23" si="28">$C10*0.5*K10</f>
        <v>0</v>
      </c>
      <c r="V10" s="20">
        <f t="shared" ref="V10:V23" si="29">$C10*0.5*L10</f>
        <v>0</v>
      </c>
      <c r="W10" s="20">
        <f t="shared" ref="W10:W23" si="30">$C10*0.5*M10</f>
        <v>0</v>
      </c>
      <c r="X10" s="21">
        <f>N10+S10</f>
        <v>1032.4000000000001</v>
      </c>
      <c r="Y10" s="21">
        <f>O10+T10</f>
        <v>427.20000000000005</v>
      </c>
      <c r="Z10" s="21">
        <f>P10+U10</f>
        <v>1246</v>
      </c>
      <c r="AA10" s="21">
        <f>Q10+V10</f>
        <v>1281.6000000000001</v>
      </c>
      <c r="AB10" s="21">
        <f>R10+W10</f>
        <v>1317.2</v>
      </c>
      <c r="AC10" s="22">
        <f t="shared" ref="AC10:AC23" si="31">N10+O10+P10+Q10+R10+S10+T10+U10+V10+W10</f>
        <v>5304.4000000000005</v>
      </c>
    </row>
    <row r="11" ht="14.25">
      <c r="A11" t="s">
        <v>24</v>
      </c>
      <c r="B11" t="s">
        <v>25</v>
      </c>
      <c r="C11" s="4">
        <v>12.9</v>
      </c>
      <c r="D11" s="16">
        <v>11</v>
      </c>
      <c r="E11" s="24">
        <v>33</v>
      </c>
      <c r="F11" s="24">
        <v>41</v>
      </c>
      <c r="G11" s="24">
        <v>42</v>
      </c>
      <c r="H11" s="24">
        <v>49</v>
      </c>
      <c r="I11" s="18">
        <f t="shared" si="16"/>
        <v>0</v>
      </c>
      <c r="J11" s="18">
        <f t="shared" si="17"/>
        <v>0</v>
      </c>
      <c r="K11" s="18">
        <f t="shared" si="18"/>
        <v>1</v>
      </c>
      <c r="L11" s="18">
        <f t="shared" si="19"/>
        <v>2</v>
      </c>
      <c r="M11" s="18">
        <f t="shared" si="20"/>
        <v>9</v>
      </c>
      <c r="N11" s="19">
        <f t="shared" si="21"/>
        <v>141.90000000000001</v>
      </c>
      <c r="O11" s="19">
        <f t="shared" si="22"/>
        <v>425.69999999999999</v>
      </c>
      <c r="P11" s="19">
        <f t="shared" si="23"/>
        <v>528.89999999999998</v>
      </c>
      <c r="Q11" s="19">
        <f t="shared" si="24"/>
        <v>541.80000000000007</v>
      </c>
      <c r="R11" s="19">
        <f t="shared" si="25"/>
        <v>632.10000000000002</v>
      </c>
      <c r="S11" s="20">
        <f t="shared" si="26"/>
        <v>0</v>
      </c>
      <c r="T11" s="20">
        <f t="shared" si="27"/>
        <v>0</v>
      </c>
      <c r="U11" s="20">
        <f t="shared" si="28"/>
        <v>6.4500000000000002</v>
      </c>
      <c r="V11" s="20">
        <f t="shared" si="29"/>
        <v>12.9</v>
      </c>
      <c r="W11" s="20">
        <f t="shared" si="30"/>
        <v>58.050000000000004</v>
      </c>
      <c r="X11" s="21">
        <f>N11+S11</f>
        <v>141.90000000000001</v>
      </c>
      <c r="Y11" s="21">
        <f>O11+T11</f>
        <v>425.69999999999999</v>
      </c>
      <c r="Z11" s="21">
        <f>P11+U11</f>
        <v>535.35000000000002</v>
      </c>
      <c r="AA11" s="21">
        <f>Q11+V11</f>
        <v>554.70000000000005</v>
      </c>
      <c r="AB11" s="21">
        <f>R11+W11</f>
        <v>690.14999999999998</v>
      </c>
      <c r="AC11" s="22">
        <f t="shared" si="31"/>
        <v>2347.8000000000002</v>
      </c>
    </row>
    <row r="12" ht="14.25">
      <c r="A12" t="s">
        <v>26</v>
      </c>
      <c r="B12" t="s">
        <v>27</v>
      </c>
      <c r="C12" s="4">
        <v>24.149999999999999</v>
      </c>
      <c r="D12" s="16">
        <v>5</v>
      </c>
      <c r="E12" s="24">
        <v>9</v>
      </c>
      <c r="F12" s="24">
        <v>44</v>
      </c>
      <c r="G12" s="24">
        <v>45</v>
      </c>
      <c r="H12" s="24">
        <v>41</v>
      </c>
      <c r="I12" s="18">
        <f t="shared" si="16"/>
        <v>0</v>
      </c>
      <c r="J12" s="18">
        <f t="shared" si="17"/>
        <v>0</v>
      </c>
      <c r="K12" s="18">
        <f t="shared" si="18"/>
        <v>4</v>
      </c>
      <c r="L12" s="18">
        <f t="shared" si="19"/>
        <v>5</v>
      </c>
      <c r="M12" s="18">
        <f t="shared" si="20"/>
        <v>1</v>
      </c>
      <c r="N12" s="19">
        <f t="shared" si="21"/>
        <v>120.75</v>
      </c>
      <c r="O12" s="19">
        <f t="shared" si="22"/>
        <v>217.34999999999999</v>
      </c>
      <c r="P12" s="19">
        <f t="shared" si="23"/>
        <v>1062.5999999999999</v>
      </c>
      <c r="Q12" s="19">
        <f t="shared" si="24"/>
        <v>1086.75</v>
      </c>
      <c r="R12" s="19">
        <f t="shared" si="25"/>
        <v>990.14999999999998</v>
      </c>
      <c r="S12" s="20">
        <f t="shared" si="26"/>
        <v>0</v>
      </c>
      <c r="T12" s="20">
        <f t="shared" si="27"/>
        <v>0</v>
      </c>
      <c r="U12" s="20">
        <f t="shared" si="28"/>
        <v>48.299999999999997</v>
      </c>
      <c r="V12" s="20">
        <f t="shared" si="29"/>
        <v>60.375</v>
      </c>
      <c r="W12" s="20">
        <f t="shared" si="30"/>
        <v>12.074999999999999</v>
      </c>
      <c r="X12" s="21">
        <f>N12+S12</f>
        <v>120.75</v>
      </c>
      <c r="Y12" s="21">
        <f>O12+T12</f>
        <v>217.34999999999999</v>
      </c>
      <c r="Z12" s="21">
        <f>P12+U12</f>
        <v>1110.8999999999999</v>
      </c>
      <c r="AA12" s="21">
        <f>Q12+V12</f>
        <v>1147.125</v>
      </c>
      <c r="AB12" s="21">
        <f>R12+W12</f>
        <v>1002.225</v>
      </c>
      <c r="AC12" s="22">
        <f t="shared" si="31"/>
        <v>3598.3499999999999</v>
      </c>
    </row>
    <row r="13" ht="14.25">
      <c r="A13" t="s">
        <v>28</v>
      </c>
      <c r="B13" t="s">
        <v>29</v>
      </c>
      <c r="C13" s="4">
        <v>29.5</v>
      </c>
      <c r="D13" s="16">
        <v>38</v>
      </c>
      <c r="E13" s="24">
        <v>21</v>
      </c>
      <c r="F13" s="24">
        <v>39</v>
      </c>
      <c r="G13" s="24">
        <v>39</v>
      </c>
      <c r="H13" s="24">
        <v>38</v>
      </c>
      <c r="I13" s="18">
        <f t="shared" si="16"/>
        <v>0</v>
      </c>
      <c r="J13" s="18">
        <f t="shared" si="17"/>
        <v>0</v>
      </c>
      <c r="K13" s="18">
        <f t="shared" si="18"/>
        <v>0</v>
      </c>
      <c r="L13" s="18">
        <f t="shared" si="19"/>
        <v>0</v>
      </c>
      <c r="M13" s="18">
        <f t="shared" si="20"/>
        <v>0</v>
      </c>
      <c r="N13" s="19">
        <f t="shared" si="21"/>
        <v>1121</v>
      </c>
      <c r="O13" s="19">
        <f t="shared" si="22"/>
        <v>619.5</v>
      </c>
      <c r="P13" s="19">
        <f t="shared" si="23"/>
        <v>1150.5</v>
      </c>
      <c r="Q13" s="19">
        <f t="shared" si="24"/>
        <v>1150.5</v>
      </c>
      <c r="R13" s="19">
        <f t="shared" si="25"/>
        <v>1121</v>
      </c>
      <c r="S13" s="20">
        <f t="shared" si="26"/>
        <v>0</v>
      </c>
      <c r="T13" s="20">
        <f t="shared" si="27"/>
        <v>0</v>
      </c>
      <c r="U13" s="20">
        <f t="shared" si="28"/>
        <v>0</v>
      </c>
      <c r="V13" s="20">
        <f t="shared" si="29"/>
        <v>0</v>
      </c>
      <c r="W13" s="20">
        <f t="shared" si="30"/>
        <v>0</v>
      </c>
      <c r="X13" s="21">
        <f>N13+S13</f>
        <v>1121</v>
      </c>
      <c r="Y13" s="21">
        <f>O13+T13</f>
        <v>619.5</v>
      </c>
      <c r="Z13" s="21">
        <f>P13+U13</f>
        <v>1150.5</v>
      </c>
      <c r="AA13" s="21">
        <f>Q13+V13</f>
        <v>1150.5</v>
      </c>
      <c r="AB13" s="21">
        <f>R13+W13</f>
        <v>1121</v>
      </c>
      <c r="AC13" s="22">
        <f t="shared" si="31"/>
        <v>5162.5</v>
      </c>
    </row>
    <row r="14" ht="14.25">
      <c r="A14" t="s">
        <v>30</v>
      </c>
      <c r="B14" t="s">
        <v>31</v>
      </c>
      <c r="C14" s="4">
        <v>17.300000000000001</v>
      </c>
      <c r="D14" s="16">
        <v>24</v>
      </c>
      <c r="E14" s="24">
        <v>48</v>
      </c>
      <c r="F14" s="24">
        <v>48</v>
      </c>
      <c r="G14" s="24">
        <v>48</v>
      </c>
      <c r="H14" s="24">
        <v>45</v>
      </c>
      <c r="I14" s="18">
        <f t="shared" si="16"/>
        <v>0</v>
      </c>
      <c r="J14" s="18">
        <f t="shared" si="17"/>
        <v>8</v>
      </c>
      <c r="K14" s="18">
        <f t="shared" si="18"/>
        <v>8</v>
      </c>
      <c r="L14" s="18">
        <f t="shared" si="19"/>
        <v>8</v>
      </c>
      <c r="M14" s="18">
        <f t="shared" si="20"/>
        <v>5</v>
      </c>
      <c r="N14" s="19">
        <f t="shared" si="21"/>
        <v>415.20000000000005</v>
      </c>
      <c r="O14" s="19">
        <f t="shared" si="22"/>
        <v>830.40000000000009</v>
      </c>
      <c r="P14" s="19">
        <f t="shared" si="23"/>
        <v>830.40000000000009</v>
      </c>
      <c r="Q14" s="19">
        <f t="shared" si="24"/>
        <v>830.40000000000009</v>
      </c>
      <c r="R14" s="19">
        <f t="shared" si="25"/>
        <v>778.5</v>
      </c>
      <c r="S14" s="20">
        <f t="shared" si="26"/>
        <v>0</v>
      </c>
      <c r="T14" s="20">
        <f t="shared" si="27"/>
        <v>69.200000000000003</v>
      </c>
      <c r="U14" s="20">
        <f t="shared" si="28"/>
        <v>69.200000000000003</v>
      </c>
      <c r="V14" s="20">
        <f t="shared" si="29"/>
        <v>69.200000000000003</v>
      </c>
      <c r="W14" s="20">
        <f t="shared" si="30"/>
        <v>43.25</v>
      </c>
      <c r="X14" s="21">
        <f>N14+S14</f>
        <v>415.20000000000005</v>
      </c>
      <c r="Y14" s="21">
        <f>O14+T14</f>
        <v>899.60000000000014</v>
      </c>
      <c r="Z14" s="21">
        <f>P14+U14</f>
        <v>899.60000000000014</v>
      </c>
      <c r="AA14" s="21">
        <f>Q14+V14</f>
        <v>899.60000000000014</v>
      </c>
      <c r="AB14" s="21">
        <f>R14+W14</f>
        <v>821.75</v>
      </c>
      <c r="AC14" s="22">
        <f t="shared" si="31"/>
        <v>3935.7499999999995</v>
      </c>
      <c r="AE14" s="23"/>
    </row>
    <row r="15" ht="14.25">
      <c r="A15" t="s">
        <v>32</v>
      </c>
      <c r="B15" t="s">
        <v>33</v>
      </c>
      <c r="C15" s="4">
        <v>41.200000000000003</v>
      </c>
      <c r="D15" s="16">
        <v>1</v>
      </c>
      <c r="E15" s="24">
        <v>14</v>
      </c>
      <c r="F15" s="24">
        <v>37</v>
      </c>
      <c r="G15" s="24">
        <v>37</v>
      </c>
      <c r="H15" s="24">
        <v>36</v>
      </c>
      <c r="I15" s="18">
        <f t="shared" si="16"/>
        <v>0</v>
      </c>
      <c r="J15" s="18">
        <f t="shared" si="17"/>
        <v>0</v>
      </c>
      <c r="K15" s="18">
        <f t="shared" si="18"/>
        <v>0</v>
      </c>
      <c r="L15" s="18">
        <f t="shared" si="19"/>
        <v>0</v>
      </c>
      <c r="M15" s="18">
        <f t="shared" si="20"/>
        <v>0</v>
      </c>
      <c r="N15" s="19">
        <f t="shared" si="21"/>
        <v>41.200000000000003</v>
      </c>
      <c r="O15" s="19">
        <f t="shared" si="22"/>
        <v>576.80000000000007</v>
      </c>
      <c r="P15" s="19">
        <f t="shared" si="23"/>
        <v>1524.4000000000001</v>
      </c>
      <c r="Q15" s="19">
        <f t="shared" si="24"/>
        <v>1524.4000000000001</v>
      </c>
      <c r="R15" s="19">
        <f t="shared" si="25"/>
        <v>1483.2</v>
      </c>
      <c r="S15" s="20">
        <f t="shared" si="26"/>
        <v>0</v>
      </c>
      <c r="T15" s="20">
        <f t="shared" si="27"/>
        <v>0</v>
      </c>
      <c r="U15" s="20">
        <f t="shared" si="28"/>
        <v>0</v>
      </c>
      <c r="V15" s="20">
        <f t="shared" si="29"/>
        <v>0</v>
      </c>
      <c r="W15" s="20">
        <f t="shared" si="30"/>
        <v>0</v>
      </c>
      <c r="X15" s="21">
        <f>N15+S15</f>
        <v>41.200000000000003</v>
      </c>
      <c r="Y15" s="21">
        <f>O15+T15</f>
        <v>576.80000000000007</v>
      </c>
      <c r="Z15" s="21">
        <f>P15+U15</f>
        <v>1524.4000000000001</v>
      </c>
      <c r="AA15" s="21">
        <f>Q15+V15</f>
        <v>1524.4000000000001</v>
      </c>
      <c r="AB15" s="21">
        <f>R15+W15</f>
        <v>1483.2</v>
      </c>
      <c r="AC15" s="22">
        <f t="shared" si="31"/>
        <v>5150</v>
      </c>
      <c r="AE15" s="23"/>
    </row>
    <row r="16" ht="14.25">
      <c r="A16" t="s">
        <v>34</v>
      </c>
      <c r="B16" t="s">
        <v>35</v>
      </c>
      <c r="C16" s="4">
        <v>20</v>
      </c>
      <c r="D16" s="16">
        <v>44</v>
      </c>
      <c r="E16" s="24">
        <v>6</v>
      </c>
      <c r="F16" s="24">
        <v>46</v>
      </c>
      <c r="G16" s="24">
        <v>43</v>
      </c>
      <c r="H16" s="24">
        <v>47</v>
      </c>
      <c r="I16" s="18">
        <f t="shared" si="16"/>
        <v>4</v>
      </c>
      <c r="J16" s="18">
        <f t="shared" si="17"/>
        <v>0</v>
      </c>
      <c r="K16" s="18">
        <f t="shared" si="18"/>
        <v>6</v>
      </c>
      <c r="L16" s="18">
        <f t="shared" si="19"/>
        <v>3</v>
      </c>
      <c r="M16" s="18">
        <f t="shared" si="20"/>
        <v>7</v>
      </c>
      <c r="N16" s="19">
        <f t="shared" si="21"/>
        <v>880</v>
      </c>
      <c r="O16" s="19">
        <f t="shared" si="22"/>
        <v>120</v>
      </c>
      <c r="P16" s="19">
        <f t="shared" si="23"/>
        <v>920</v>
      </c>
      <c r="Q16" s="19">
        <f t="shared" si="24"/>
        <v>860</v>
      </c>
      <c r="R16" s="19">
        <f t="shared" si="25"/>
        <v>940</v>
      </c>
      <c r="S16" s="20">
        <f t="shared" si="26"/>
        <v>40</v>
      </c>
      <c r="T16" s="20">
        <f t="shared" si="27"/>
        <v>0</v>
      </c>
      <c r="U16" s="20">
        <f t="shared" si="28"/>
        <v>60</v>
      </c>
      <c r="V16" s="20">
        <f t="shared" si="29"/>
        <v>30</v>
      </c>
      <c r="W16" s="20">
        <f t="shared" si="30"/>
        <v>70</v>
      </c>
      <c r="X16" s="21">
        <f>N16+S16</f>
        <v>920</v>
      </c>
      <c r="Y16" s="21">
        <f>O16+T16</f>
        <v>120</v>
      </c>
      <c r="Z16" s="21">
        <f>P16+U16</f>
        <v>980</v>
      </c>
      <c r="AA16" s="21">
        <f>Q16+V16</f>
        <v>890</v>
      </c>
      <c r="AB16" s="21">
        <f>R16+W16</f>
        <v>1010</v>
      </c>
      <c r="AC16" s="22">
        <f t="shared" si="31"/>
        <v>3920</v>
      </c>
      <c r="AE16" s="23"/>
    </row>
    <row r="17" ht="14.25">
      <c r="A17" t="s">
        <v>36</v>
      </c>
      <c r="B17" t="s">
        <v>37</v>
      </c>
      <c r="C17" s="4">
        <v>15.75</v>
      </c>
      <c r="D17" s="16">
        <v>19</v>
      </c>
      <c r="E17" s="24">
        <v>39</v>
      </c>
      <c r="F17" s="24">
        <v>43</v>
      </c>
      <c r="G17" s="24">
        <v>46</v>
      </c>
      <c r="H17" s="24">
        <v>43</v>
      </c>
      <c r="I17" s="18">
        <f t="shared" si="16"/>
        <v>0</v>
      </c>
      <c r="J17" s="18">
        <f t="shared" si="17"/>
        <v>0</v>
      </c>
      <c r="K17" s="18">
        <f t="shared" si="18"/>
        <v>3</v>
      </c>
      <c r="L17" s="18">
        <f t="shared" si="19"/>
        <v>6</v>
      </c>
      <c r="M17" s="18">
        <f t="shared" si="20"/>
        <v>3</v>
      </c>
      <c r="N17" s="19">
        <f t="shared" si="21"/>
        <v>299.25</v>
      </c>
      <c r="O17" s="19">
        <f t="shared" si="22"/>
        <v>614.25</v>
      </c>
      <c r="P17" s="19">
        <f t="shared" si="23"/>
        <v>677.25</v>
      </c>
      <c r="Q17" s="19">
        <f t="shared" si="24"/>
        <v>724.5</v>
      </c>
      <c r="R17" s="19">
        <f t="shared" si="25"/>
        <v>677.25</v>
      </c>
      <c r="S17" s="20">
        <f t="shared" si="26"/>
        <v>0</v>
      </c>
      <c r="T17" s="20">
        <f t="shared" si="27"/>
        <v>0</v>
      </c>
      <c r="U17" s="20">
        <f t="shared" si="28"/>
        <v>23.625</v>
      </c>
      <c r="V17" s="20">
        <f t="shared" si="29"/>
        <v>47.25</v>
      </c>
      <c r="W17" s="20">
        <f t="shared" si="30"/>
        <v>23.625</v>
      </c>
      <c r="X17" s="21">
        <f>N17+S17</f>
        <v>299.25</v>
      </c>
      <c r="Y17" s="21">
        <f>O17+T17</f>
        <v>614.25</v>
      </c>
      <c r="Z17" s="21">
        <f>P17+U17</f>
        <v>700.875</v>
      </c>
      <c r="AA17" s="21">
        <f>Q17+V17</f>
        <v>771.75</v>
      </c>
      <c r="AB17" s="21">
        <f>R17+W17</f>
        <v>700.875</v>
      </c>
      <c r="AC17" s="22">
        <f t="shared" si="31"/>
        <v>3087</v>
      </c>
      <c r="AE17" s="23"/>
    </row>
    <row r="18" ht="14.25">
      <c r="A18" t="s">
        <v>38</v>
      </c>
      <c r="B18" t="s">
        <v>39</v>
      </c>
      <c r="C18" s="4">
        <v>33.100000000000001</v>
      </c>
      <c r="D18" s="16">
        <v>27</v>
      </c>
      <c r="E18" s="24">
        <v>25</v>
      </c>
      <c r="F18" s="24">
        <v>40</v>
      </c>
      <c r="G18" s="24">
        <v>40</v>
      </c>
      <c r="H18" s="24">
        <v>40</v>
      </c>
      <c r="I18" s="18">
        <f t="shared" si="16"/>
        <v>0</v>
      </c>
      <c r="J18" s="18">
        <f t="shared" si="17"/>
        <v>0</v>
      </c>
      <c r="K18" s="18">
        <f t="shared" si="18"/>
        <v>0</v>
      </c>
      <c r="L18" s="18">
        <f t="shared" si="19"/>
        <v>0</v>
      </c>
      <c r="M18" s="18">
        <f t="shared" si="20"/>
        <v>0</v>
      </c>
      <c r="N18" s="19">
        <f t="shared" si="21"/>
        <v>893.70000000000005</v>
      </c>
      <c r="O18" s="19">
        <f t="shared" si="22"/>
        <v>827.5</v>
      </c>
      <c r="P18" s="19">
        <f t="shared" si="23"/>
        <v>1324</v>
      </c>
      <c r="Q18" s="19">
        <f t="shared" si="24"/>
        <v>1324</v>
      </c>
      <c r="R18" s="19">
        <f t="shared" si="25"/>
        <v>1324</v>
      </c>
      <c r="S18" s="20">
        <f t="shared" si="26"/>
        <v>0</v>
      </c>
      <c r="T18" s="20">
        <f t="shared" si="27"/>
        <v>0</v>
      </c>
      <c r="U18" s="20">
        <f t="shared" si="28"/>
        <v>0</v>
      </c>
      <c r="V18" s="20">
        <f t="shared" si="29"/>
        <v>0</v>
      </c>
      <c r="W18" s="20">
        <f t="shared" si="30"/>
        <v>0</v>
      </c>
      <c r="X18" s="21">
        <f>N18+S18</f>
        <v>893.70000000000005</v>
      </c>
      <c r="Y18" s="21">
        <f>O18+T18</f>
        <v>827.5</v>
      </c>
      <c r="Z18" s="21">
        <f>P18+U18</f>
        <v>1324</v>
      </c>
      <c r="AA18" s="21">
        <f>Q18+V18</f>
        <v>1324</v>
      </c>
      <c r="AB18" s="21">
        <f>R18+W18</f>
        <v>1324</v>
      </c>
      <c r="AC18" s="22">
        <f t="shared" si="31"/>
        <v>5693.1999999999998</v>
      </c>
      <c r="AE18" s="23"/>
    </row>
    <row r="19" ht="14.25">
      <c r="A19" t="s">
        <v>40</v>
      </c>
      <c r="B19" t="s">
        <v>41</v>
      </c>
      <c r="C19" s="4">
        <v>26.850000000000001</v>
      </c>
      <c r="D19" s="16">
        <v>13</v>
      </c>
      <c r="E19" s="24">
        <v>11</v>
      </c>
      <c r="F19" s="24">
        <v>36</v>
      </c>
      <c r="G19" s="24">
        <v>35</v>
      </c>
      <c r="H19" s="24">
        <v>39</v>
      </c>
      <c r="I19" s="18">
        <f t="shared" si="16"/>
        <v>0</v>
      </c>
      <c r="J19" s="18">
        <f t="shared" si="17"/>
        <v>0</v>
      </c>
      <c r="K19" s="18">
        <f t="shared" si="18"/>
        <v>0</v>
      </c>
      <c r="L19" s="18">
        <f t="shared" si="19"/>
        <v>0</v>
      </c>
      <c r="M19" s="18">
        <f t="shared" si="20"/>
        <v>0</v>
      </c>
      <c r="N19" s="19">
        <f t="shared" si="21"/>
        <v>349.05000000000001</v>
      </c>
      <c r="O19" s="19">
        <f t="shared" si="22"/>
        <v>295.35000000000002</v>
      </c>
      <c r="P19" s="19">
        <f t="shared" si="23"/>
        <v>966.60000000000002</v>
      </c>
      <c r="Q19" s="19">
        <f t="shared" si="24"/>
        <v>939.75</v>
      </c>
      <c r="R19" s="19">
        <f t="shared" si="25"/>
        <v>1047.1500000000001</v>
      </c>
      <c r="S19" s="20">
        <f t="shared" si="26"/>
        <v>0</v>
      </c>
      <c r="T19" s="20">
        <f t="shared" si="27"/>
        <v>0</v>
      </c>
      <c r="U19" s="20">
        <f t="shared" si="28"/>
        <v>0</v>
      </c>
      <c r="V19" s="20">
        <f t="shared" si="29"/>
        <v>0</v>
      </c>
      <c r="W19" s="20">
        <f t="shared" si="30"/>
        <v>0</v>
      </c>
      <c r="X19" s="21">
        <f>N19+S19</f>
        <v>349.05000000000001</v>
      </c>
      <c r="Y19" s="21">
        <f>O19+T19</f>
        <v>295.35000000000002</v>
      </c>
      <c r="Z19" s="21">
        <f>P19+U19</f>
        <v>966.60000000000002</v>
      </c>
      <c r="AA19" s="21">
        <f>Q19+V19</f>
        <v>939.75</v>
      </c>
      <c r="AB19" s="21">
        <f>R19+W19</f>
        <v>1047.1500000000001</v>
      </c>
      <c r="AC19" s="22">
        <f t="shared" si="31"/>
        <v>3597.9000000000001</v>
      </c>
      <c r="AE19" s="23"/>
    </row>
    <row r="20" ht="14.25">
      <c r="A20" t="s">
        <v>42</v>
      </c>
      <c r="B20" t="s">
        <v>43</v>
      </c>
      <c r="C20" s="4">
        <v>13.6</v>
      </c>
      <c r="D20" s="16">
        <v>36</v>
      </c>
      <c r="E20" s="24">
        <v>30</v>
      </c>
      <c r="F20" s="24">
        <v>49</v>
      </c>
      <c r="G20" s="24">
        <v>47</v>
      </c>
      <c r="H20" s="24">
        <v>46</v>
      </c>
      <c r="I20" s="18">
        <f t="shared" si="16"/>
        <v>0</v>
      </c>
      <c r="J20" s="18">
        <f t="shared" si="17"/>
        <v>0</v>
      </c>
      <c r="K20" s="18">
        <f t="shared" si="18"/>
        <v>9</v>
      </c>
      <c r="L20" s="18">
        <f t="shared" si="19"/>
        <v>7</v>
      </c>
      <c r="M20" s="18">
        <f t="shared" si="20"/>
        <v>6</v>
      </c>
      <c r="N20" s="19">
        <f t="shared" si="21"/>
        <v>489.59999999999997</v>
      </c>
      <c r="O20" s="19">
        <f t="shared" si="22"/>
        <v>408</v>
      </c>
      <c r="P20" s="19">
        <f t="shared" si="23"/>
        <v>666.39999999999998</v>
      </c>
      <c r="Q20" s="19">
        <f t="shared" si="24"/>
        <v>639.19999999999993</v>
      </c>
      <c r="R20" s="19">
        <f t="shared" si="25"/>
        <v>625.60000000000002</v>
      </c>
      <c r="S20" s="20">
        <f t="shared" si="26"/>
        <v>0</v>
      </c>
      <c r="T20" s="20">
        <f t="shared" si="27"/>
        <v>0</v>
      </c>
      <c r="U20" s="20">
        <f t="shared" si="28"/>
        <v>61.199999999999996</v>
      </c>
      <c r="V20" s="20">
        <f t="shared" si="29"/>
        <v>47.600000000000001</v>
      </c>
      <c r="W20" s="20">
        <f t="shared" si="30"/>
        <v>40.799999999999997</v>
      </c>
      <c r="X20" s="21">
        <f>N20+S20</f>
        <v>489.59999999999997</v>
      </c>
      <c r="Y20" s="21">
        <f>O20+T20</f>
        <v>408</v>
      </c>
      <c r="Z20" s="21">
        <f>P20+U20</f>
        <v>727.60000000000002</v>
      </c>
      <c r="AA20" s="21">
        <f>Q20+V20</f>
        <v>686.79999999999995</v>
      </c>
      <c r="AB20" s="21">
        <f>R20+W20</f>
        <v>666.39999999999998</v>
      </c>
      <c r="AC20" s="22">
        <f t="shared" si="31"/>
        <v>2978.3999999999996</v>
      </c>
      <c r="AE20" s="23"/>
    </row>
    <row r="21" ht="14.25">
      <c r="A21" t="s">
        <v>44</v>
      </c>
      <c r="B21" t="s">
        <v>45</v>
      </c>
      <c r="C21" s="4">
        <v>38.450000000000003</v>
      </c>
      <c r="D21" s="16">
        <v>7</v>
      </c>
      <c r="E21" s="24">
        <v>2</v>
      </c>
      <c r="F21" s="24">
        <v>38</v>
      </c>
      <c r="G21" s="24">
        <v>41</v>
      </c>
      <c r="H21" s="24">
        <v>42</v>
      </c>
      <c r="I21" s="18">
        <f t="shared" si="16"/>
        <v>0</v>
      </c>
      <c r="J21" s="18">
        <f t="shared" si="17"/>
        <v>0</v>
      </c>
      <c r="K21" s="18">
        <f t="shared" si="18"/>
        <v>0</v>
      </c>
      <c r="L21" s="18">
        <f t="shared" si="19"/>
        <v>1</v>
      </c>
      <c r="M21" s="18">
        <f t="shared" si="20"/>
        <v>2</v>
      </c>
      <c r="N21" s="19">
        <f t="shared" si="21"/>
        <v>269.15000000000003</v>
      </c>
      <c r="O21" s="19">
        <f t="shared" si="22"/>
        <v>76.900000000000006</v>
      </c>
      <c r="P21" s="19">
        <f t="shared" si="23"/>
        <v>1461.1000000000001</v>
      </c>
      <c r="Q21" s="19">
        <f t="shared" si="24"/>
        <v>1576.45</v>
      </c>
      <c r="R21" s="19">
        <f t="shared" si="25"/>
        <v>1614.9000000000001</v>
      </c>
      <c r="S21" s="20">
        <f t="shared" si="26"/>
        <v>0</v>
      </c>
      <c r="T21" s="20">
        <f t="shared" si="27"/>
        <v>0</v>
      </c>
      <c r="U21" s="20">
        <f t="shared" si="28"/>
        <v>0</v>
      </c>
      <c r="V21" s="20">
        <f t="shared" si="29"/>
        <v>19.225000000000001</v>
      </c>
      <c r="W21" s="20">
        <f t="shared" si="30"/>
        <v>38.450000000000003</v>
      </c>
      <c r="X21" s="21">
        <f>N21+S21</f>
        <v>269.15000000000003</v>
      </c>
      <c r="Y21" s="21">
        <f>O21+T21</f>
        <v>76.900000000000006</v>
      </c>
      <c r="Z21" s="21">
        <f>P21+U21</f>
        <v>1461.1000000000001</v>
      </c>
      <c r="AA21" s="21">
        <f>Q21+V21</f>
        <v>1595.675</v>
      </c>
      <c r="AB21" s="21">
        <f>R21+W21</f>
        <v>1653.3500000000001</v>
      </c>
      <c r="AC21" s="22">
        <f t="shared" si="31"/>
        <v>5056.1750000000002</v>
      </c>
      <c r="AE21" s="23"/>
    </row>
    <row r="22" ht="14.25">
      <c r="A22" t="s">
        <v>46</v>
      </c>
      <c r="B22" t="s">
        <v>47</v>
      </c>
      <c r="C22" s="4">
        <v>21.949999999999999</v>
      </c>
      <c r="D22" s="16">
        <v>30</v>
      </c>
      <c r="E22" s="24">
        <v>44</v>
      </c>
      <c r="F22" s="24">
        <v>45</v>
      </c>
      <c r="G22" s="24">
        <v>44</v>
      </c>
      <c r="H22" s="24">
        <v>35</v>
      </c>
      <c r="I22" s="18">
        <f t="shared" si="16"/>
        <v>0</v>
      </c>
      <c r="J22" s="18">
        <f t="shared" si="17"/>
        <v>4</v>
      </c>
      <c r="K22" s="18">
        <f t="shared" si="18"/>
        <v>5</v>
      </c>
      <c r="L22" s="18">
        <f t="shared" si="19"/>
        <v>4</v>
      </c>
      <c r="M22" s="18">
        <f t="shared" si="20"/>
        <v>0</v>
      </c>
      <c r="N22" s="19">
        <f t="shared" si="21"/>
        <v>658.5</v>
      </c>
      <c r="O22" s="19">
        <f t="shared" si="22"/>
        <v>965.79999999999995</v>
      </c>
      <c r="P22" s="19">
        <f t="shared" si="23"/>
        <v>987.75</v>
      </c>
      <c r="Q22" s="19">
        <f t="shared" si="24"/>
        <v>965.79999999999995</v>
      </c>
      <c r="R22" s="19">
        <f t="shared" si="25"/>
        <v>768.25</v>
      </c>
      <c r="S22" s="20">
        <f t="shared" si="26"/>
        <v>0</v>
      </c>
      <c r="T22" s="20">
        <f t="shared" si="27"/>
        <v>43.899999999999999</v>
      </c>
      <c r="U22" s="20">
        <f t="shared" si="28"/>
        <v>54.875</v>
      </c>
      <c r="V22" s="20">
        <f t="shared" si="29"/>
        <v>43.899999999999999</v>
      </c>
      <c r="W22" s="20">
        <f t="shared" si="30"/>
        <v>0</v>
      </c>
      <c r="X22" s="21">
        <f>N22+S22</f>
        <v>658.5</v>
      </c>
      <c r="Y22" s="21">
        <f>O22+T22</f>
        <v>1009.6999999999999</v>
      </c>
      <c r="Z22" s="21">
        <f>P22+U22</f>
        <v>1042.625</v>
      </c>
      <c r="AA22" s="21">
        <f>Q22+V22</f>
        <v>1009.6999999999999</v>
      </c>
      <c r="AB22" s="21">
        <f>R22+W22</f>
        <v>768.25</v>
      </c>
      <c r="AC22" s="22">
        <f t="shared" si="31"/>
        <v>4488.7749999999996</v>
      </c>
      <c r="AE22" s="23"/>
    </row>
    <row r="23" ht="14.25">
      <c r="A23" t="s">
        <v>48</v>
      </c>
      <c r="B23" t="s">
        <v>49</v>
      </c>
      <c r="C23" s="4">
        <v>30.699999999999999</v>
      </c>
      <c r="D23" s="16">
        <v>15</v>
      </c>
      <c r="E23" s="24">
        <v>19</v>
      </c>
      <c r="F23" s="24">
        <v>42</v>
      </c>
      <c r="G23" s="24">
        <v>38</v>
      </c>
      <c r="H23" s="24">
        <v>48</v>
      </c>
      <c r="I23" s="18">
        <f t="shared" si="16"/>
        <v>0</v>
      </c>
      <c r="J23" s="18">
        <f t="shared" si="17"/>
        <v>0</v>
      </c>
      <c r="K23" s="18">
        <f t="shared" si="18"/>
        <v>2</v>
      </c>
      <c r="L23" s="18">
        <f t="shared" si="19"/>
        <v>0</v>
      </c>
      <c r="M23" s="18">
        <f t="shared" si="20"/>
        <v>8</v>
      </c>
      <c r="N23" s="19">
        <f t="shared" si="21"/>
        <v>460.5</v>
      </c>
      <c r="O23" s="19">
        <f t="shared" si="22"/>
        <v>583.29999999999995</v>
      </c>
      <c r="P23" s="19">
        <f t="shared" si="23"/>
        <v>1289.3999999999999</v>
      </c>
      <c r="Q23" s="19">
        <f t="shared" si="24"/>
        <v>1166.5999999999999</v>
      </c>
      <c r="R23" s="19">
        <f t="shared" si="25"/>
        <v>1473.5999999999999</v>
      </c>
      <c r="S23" s="20">
        <f t="shared" si="26"/>
        <v>0</v>
      </c>
      <c r="T23" s="20">
        <f t="shared" si="27"/>
        <v>0</v>
      </c>
      <c r="U23" s="20">
        <f t="shared" si="28"/>
        <v>30.699999999999999</v>
      </c>
      <c r="V23" s="20">
        <f t="shared" si="29"/>
        <v>0</v>
      </c>
      <c r="W23" s="20">
        <f t="shared" si="30"/>
        <v>122.8</v>
      </c>
      <c r="X23" s="21">
        <f>N23+S23</f>
        <v>460.5</v>
      </c>
      <c r="Y23" s="21">
        <f>O23+T23</f>
        <v>583.29999999999995</v>
      </c>
      <c r="Z23" s="21">
        <f>P23+U23</f>
        <v>1320.0999999999999</v>
      </c>
      <c r="AA23" s="21">
        <f>Q23+V23</f>
        <v>1166.5999999999999</v>
      </c>
      <c r="AB23" s="21">
        <f>R23+W23</f>
        <v>1596.3999999999999</v>
      </c>
      <c r="AC23" s="22">
        <f t="shared" si="31"/>
        <v>5126.8999999999996</v>
      </c>
      <c r="AE23" s="23"/>
    </row>
    <row r="24" ht="14.25">
      <c r="A24"/>
      <c r="B24"/>
      <c r="C24" s="4"/>
      <c r="D24"/>
      <c r="E24" s="5"/>
      <c r="F24" s="5"/>
      <c r="G24" s="5"/>
      <c r="H24" s="5"/>
      <c r="I24"/>
      <c r="J24" s="5"/>
      <c r="K24" s="5"/>
      <c r="L24" s="5"/>
      <c r="M24" s="5"/>
      <c r="N24"/>
      <c r="O24" s="5"/>
      <c r="P24" s="5"/>
      <c r="Q24" s="5"/>
      <c r="R24" s="5"/>
      <c r="S24"/>
      <c r="T24" s="5"/>
      <c r="U24" s="5"/>
      <c r="V24" s="5"/>
      <c r="W24" s="5"/>
      <c r="X24" s="27"/>
      <c r="Y24" s="27"/>
      <c r="Z24" s="27"/>
      <c r="AA24" s="27"/>
      <c r="AB24" s="27"/>
      <c r="AE24" s="23"/>
      <c r="AF24" s="28"/>
    </row>
    <row r="25" ht="14.25">
      <c r="A25" t="s">
        <v>50</v>
      </c>
      <c r="B25"/>
      <c r="C25" s="4">
        <f>MAX(C4:C23)</f>
        <v>41.200000000000003</v>
      </c>
      <c r="D25">
        <f>MAX(D4:D23)</f>
        <v>44</v>
      </c>
      <c r="E25">
        <f>MAX(E4:E23)</f>
        <v>48</v>
      </c>
      <c r="F25">
        <f>MAX(F4:F23)</f>
        <v>49</v>
      </c>
      <c r="G25">
        <f>MAX(G4:G23)</f>
        <v>49</v>
      </c>
      <c r="H25">
        <f>MAX(H4:H23)</f>
        <v>49</v>
      </c>
      <c r="I25">
        <f>MAX(I4:I23)</f>
        <v>4</v>
      </c>
      <c r="J25">
        <f>MAX(J4:J23)</f>
        <v>8</v>
      </c>
      <c r="K25">
        <f>MAX(K4:K23)</f>
        <v>9</v>
      </c>
      <c r="L25">
        <f>MAX(L4:L23)</f>
        <v>9</v>
      </c>
      <c r="M25">
        <f>MAX(M4:M23)</f>
        <v>9</v>
      </c>
      <c r="N25" s="4">
        <f>MAX(N4:N23)</f>
        <v>1150.8</v>
      </c>
      <c r="O25" s="4">
        <f>MAX(O4:O23)</f>
        <v>965.79999999999995</v>
      </c>
      <c r="P25" s="4">
        <f>MAX(P4:P23)</f>
        <v>1524.4000000000001</v>
      </c>
      <c r="Q25" s="4">
        <f>MAX(Q4:Q23)</f>
        <v>1576.45</v>
      </c>
      <c r="R25" s="4">
        <f>MAX(R4:R23)</f>
        <v>1614.9000000000001</v>
      </c>
      <c r="S25" s="4">
        <f>MAX(S4:S23)</f>
        <v>40</v>
      </c>
      <c r="T25" s="4">
        <f>MAX(T4:T23)</f>
        <v>69.200000000000003</v>
      </c>
      <c r="U25" s="4">
        <f>MAX(U4:U23)</f>
        <v>99</v>
      </c>
      <c r="V25" s="4">
        <f>MAX(V4:V23)</f>
        <v>123.3</v>
      </c>
      <c r="W25" s="4">
        <f>MAX(W4:W23)</f>
        <v>122.8</v>
      </c>
      <c r="X25" s="4">
        <f>MAX(X4:X23)</f>
        <v>1178.2</v>
      </c>
      <c r="Y25" s="4">
        <f>MAX(Y4:Y23)</f>
        <v>1009.6999999999999</v>
      </c>
      <c r="Z25" s="4">
        <f>MAX(Z4:Z23)</f>
        <v>1524.4000000000001</v>
      </c>
      <c r="AA25" s="4">
        <f>MAX(AA4:AA23)</f>
        <v>1595.675</v>
      </c>
      <c r="AB25" s="4">
        <f>MAX(AB4:AB23)</f>
        <v>1653.3500000000001</v>
      </c>
      <c r="AC25" s="4">
        <f>MAX(AC4:AC23)</f>
        <v>5863.5999999999995</v>
      </c>
      <c r="AE25" s="23"/>
    </row>
    <row r="26" ht="14.25">
      <c r="A26" t="s">
        <v>51</v>
      </c>
      <c r="B26"/>
      <c r="C26" s="4">
        <f>MIN(C4:C23)</f>
        <v>12.9</v>
      </c>
      <c r="D26">
        <f>MIN(D4:D23)</f>
        <v>1</v>
      </c>
      <c r="E26">
        <f>MIN(E4:E23)</f>
        <v>2</v>
      </c>
      <c r="F26">
        <f>MIN(F4:F23)</f>
        <v>35</v>
      </c>
      <c r="G26">
        <f>MIN(G4:G23)</f>
        <v>35</v>
      </c>
      <c r="H26">
        <f>MIN(H4:H23)</f>
        <v>35</v>
      </c>
      <c r="I26">
        <f>MIN(I4:I23)</f>
        <v>0</v>
      </c>
      <c r="J26">
        <f>MIN(J4:J23)</f>
        <v>0</v>
      </c>
      <c r="K26">
        <f>MIN(K4:K23)</f>
        <v>0</v>
      </c>
      <c r="L26">
        <f>MIN(L4:L23)</f>
        <v>0</v>
      </c>
      <c r="M26">
        <f>MIN(M4:M23)</f>
        <v>0</v>
      </c>
      <c r="N26" s="4">
        <f>MIN(N4:N23)</f>
        <v>41.200000000000003</v>
      </c>
      <c r="O26" s="4">
        <f>MIN(O4:O23)</f>
        <v>48.75</v>
      </c>
      <c r="P26" s="4">
        <f>MIN(P4:P23)</f>
        <v>522</v>
      </c>
      <c r="Q26" s="4">
        <f>MIN(Q4:Q23)</f>
        <v>507.5</v>
      </c>
      <c r="R26" s="4">
        <f>MIN(R4:R23)</f>
        <v>565.5</v>
      </c>
      <c r="S26" s="4">
        <f>MIN(S4:S23)</f>
        <v>0</v>
      </c>
      <c r="T26" s="4">
        <f>MIN(T4:T23)</f>
        <v>0</v>
      </c>
      <c r="U26" s="4">
        <f>MIN(U4:U23)</f>
        <v>0</v>
      </c>
      <c r="V26" s="4">
        <f>MIN(V4:V23)</f>
        <v>0</v>
      </c>
      <c r="W26" s="4">
        <f>MIN(W4:W23)</f>
        <v>0</v>
      </c>
      <c r="X26" s="4">
        <f>MIN(X4:X23)</f>
        <v>41.200000000000003</v>
      </c>
      <c r="Y26" s="4">
        <f>MIN(Y4:Y23)</f>
        <v>48.75</v>
      </c>
      <c r="Z26" s="4">
        <f>MIN(Z4:Z23)</f>
        <v>522</v>
      </c>
      <c r="AA26" s="4">
        <f>MIN(AA4:AA23)</f>
        <v>507.5</v>
      </c>
      <c r="AB26" s="4">
        <f>MIN(AB4:AB23)</f>
        <v>565.5</v>
      </c>
      <c r="AC26" s="4">
        <f>MIN(AC4:AC23)</f>
        <v>1812.5</v>
      </c>
      <c r="AE26" s="23"/>
    </row>
    <row r="27" ht="14.25">
      <c r="A27" t="s">
        <v>52</v>
      </c>
      <c r="B27"/>
      <c r="C27" s="4">
        <f>AVERAGE(C4:C23)</f>
        <v>23.987500000000004</v>
      </c>
      <c r="D27">
        <f>AVERAGE(D4:D23)</f>
        <v>21.199999999999999</v>
      </c>
      <c r="E27">
        <f>AVERAGE(E4:E23)</f>
        <v>22.75</v>
      </c>
      <c r="F27">
        <f>AVERAGE(F4:F23)</f>
        <v>42</v>
      </c>
      <c r="G27">
        <f>AVERAGE(G4:G23)</f>
        <v>41.75</v>
      </c>
      <c r="H27">
        <f>AVERAGE(H4:H23)</f>
        <v>42</v>
      </c>
      <c r="I27">
        <f>AVERAGE(I4:I23)</f>
        <v>0.29999999999999999</v>
      </c>
      <c r="J27">
        <f>AVERAGE(J4:J23)</f>
        <v>0.94999999999999996</v>
      </c>
      <c r="K27">
        <f>AVERAGE(K4:K23)</f>
        <v>3.0499999999999998</v>
      </c>
      <c r="L27">
        <f>AVERAGE(L4:L23)</f>
        <v>2.8500000000000001</v>
      </c>
      <c r="M27">
        <f>AVERAGE(M4:M23)</f>
        <v>3.0499999999999998</v>
      </c>
      <c r="N27" s="4">
        <f>AVERAGE(N4:N23)</f>
        <v>496.1925</v>
      </c>
      <c r="O27" s="4">
        <f>AVERAGE(O4:O23)</f>
        <v>497.62999999999982</v>
      </c>
      <c r="P27" s="4">
        <f>AVERAGE(P4:P23)</f>
        <v>990.19500000000005</v>
      </c>
      <c r="Q27" s="4">
        <f>AVERAGE(Q4:Q23)</f>
        <v>986.68999999999994</v>
      </c>
      <c r="R27" s="4">
        <f>AVERAGE(R4:R23)</f>
        <v>989.6450000000001</v>
      </c>
      <c r="S27" s="4">
        <f>AVERAGE(S4:S23)</f>
        <v>3.3700000000000001</v>
      </c>
      <c r="T27" s="4">
        <f>AVERAGE(T4:T23)</f>
        <v>9.067499999999999</v>
      </c>
      <c r="U27" s="4">
        <f>AVERAGE(U4:U23)</f>
        <v>30.495000000000005</v>
      </c>
      <c r="V27" s="4">
        <f>AVERAGE(V4:V23)</f>
        <v>28.498750000000001</v>
      </c>
      <c r="W27" s="4">
        <f>AVERAGE(W4:W23)</f>
        <v>29.864999999999998</v>
      </c>
      <c r="X27" s="4">
        <f>AVERAGE(X4:X23)</f>
        <v>499.5625</v>
      </c>
      <c r="Y27" s="4">
        <f>AVERAGE(Y4:Y23)</f>
        <v>506.69750000000005</v>
      </c>
      <c r="Z27" s="4">
        <f>AVERAGE(Z4:Z23)</f>
        <v>1020.6899999999998</v>
      </c>
      <c r="AA27" s="4">
        <f>AVERAGE(AA4:AA23)</f>
        <v>1015.1887499999999</v>
      </c>
      <c r="AB27" s="4">
        <f>AVERAGE(AB4:AB23)</f>
        <v>1019.51</v>
      </c>
      <c r="AC27" s="4">
        <f>AVERAGE(AC4:AC23)</f>
        <v>4061.6487499999994</v>
      </c>
    </row>
    <row r="28" ht="14.25">
      <c r="A28"/>
      <c r="B28"/>
      <c r="C28" s="4"/>
      <c r="D28"/>
      <c r="E28"/>
      <c r="F28"/>
      <c r="G28"/>
      <c r="H28"/>
      <c r="I28"/>
      <c r="J28" s="5"/>
      <c r="K28" s="5"/>
      <c r="L28" s="5"/>
      <c r="M28" s="5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4.25">
      <c r="A29" t="s">
        <v>53</v>
      </c>
      <c r="B29"/>
      <c r="C29" s="4"/>
      <c r="D29"/>
      <c r="E29" s="5"/>
      <c r="F29" s="5"/>
      <c r="G29" s="5"/>
      <c r="H29" s="5"/>
      <c r="I29"/>
      <c r="J29" s="5"/>
      <c r="K29" s="5"/>
      <c r="L29" s="5"/>
      <c r="M29" s="5"/>
      <c r="N29" s="4">
        <f>SUM(N4:N23)</f>
        <v>9923.8500000000004</v>
      </c>
      <c r="O29" s="4">
        <f>SUM(O4:O23)</f>
        <v>9952.5999999999967</v>
      </c>
      <c r="P29" s="4">
        <f>SUM(P4:P23)</f>
        <v>19803.900000000001</v>
      </c>
      <c r="Q29" s="4">
        <f>SUM(Q4:Q23)</f>
        <v>19733.799999999999</v>
      </c>
      <c r="R29" s="4">
        <f>SUM(R4:R23)</f>
        <v>19792.900000000001</v>
      </c>
      <c r="S29" s="4">
        <f>SUM(S4:S23)</f>
        <v>67.400000000000006</v>
      </c>
      <c r="T29" s="4">
        <f>SUM(T4:T23)</f>
        <v>181.34999999999999</v>
      </c>
      <c r="U29" s="4">
        <f>SUM(U4:U23)</f>
        <v>609.90000000000009</v>
      </c>
      <c r="V29" s="4">
        <f>SUM(V4:V23)</f>
        <v>569.97500000000002</v>
      </c>
      <c r="W29" s="4">
        <f>SUM(W4:W23)</f>
        <v>597.29999999999995</v>
      </c>
      <c r="X29" s="4">
        <f>SUM(X4:X23)</f>
        <v>9991.25</v>
      </c>
      <c r="Y29" s="4">
        <f>SUM(Y4:Y23)</f>
        <v>10133.950000000001</v>
      </c>
      <c r="Z29" s="4">
        <f>SUM(Z4:Z23)</f>
        <v>20413.799999999996</v>
      </c>
      <c r="AA29" s="4">
        <f>SUM(AA4:AA23)</f>
        <v>20303.774999999998</v>
      </c>
      <c r="AB29" s="4">
        <f>SUM(AB4:AB23)</f>
        <v>20390.200000000001</v>
      </c>
      <c r="AC29" s="29">
        <f>SUM(AC4:AC23)</f>
        <v>81232.974999999991</v>
      </c>
    </row>
    <row r="34" ht="15">
      <c r="A34" s="30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1" scale="25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2026-02-20T11:27:58Z</dcterms:modified>
</cp:coreProperties>
</file>